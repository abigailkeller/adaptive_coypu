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M24" i="1" l="1"/>
  <c r="K24" i="1"/>
  <c r="G24" i="1"/>
  <c r="D24" i="1"/>
  <c r="C24" i="1"/>
  <c r="J24" i="1" l="1"/>
  <c r="H24" i="1" l="1"/>
  <c r="F24" i="1"/>
  <c r="E24" i="1"/>
  <c r="N26" i="1" l="1"/>
  <c r="I26" i="1"/>
  <c r="M26" i="1" l="1"/>
  <c r="L24" i="1"/>
  <c r="L26" i="1" s="1"/>
  <c r="K26" i="1"/>
  <c r="J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<sst xmlns="http://schemas.openxmlformats.org/spreadsheetml/2006/main" count="56" uniqueCount="29">
  <si>
    <t>Nb ragondins par commune</t>
  </si>
  <si>
    <t>Dates</t>
  </si>
  <si>
    <t>Lieux</t>
  </si>
  <si>
    <t>Nombre ragondins</t>
  </si>
  <si>
    <t>Poids (kg)</t>
  </si>
  <si>
    <t>Baillargues</t>
  </si>
  <si>
    <t>Candillargues</t>
  </si>
  <si>
    <t>Grande-Motte</t>
  </si>
  <si>
    <t>Lansargues</t>
  </si>
  <si>
    <t>Lunel</t>
  </si>
  <si>
    <t>Marsillargues</t>
  </si>
  <si>
    <t>Mauguio</t>
  </si>
  <si>
    <t>Pérols</t>
  </si>
  <si>
    <t>St-Nazaire</t>
  </si>
  <si>
    <t>St Vincent de Barbeyrargues</t>
  </si>
  <si>
    <t>Commentaires</t>
  </si>
  <si>
    <t>Personnes présentes</t>
  </si>
  <si>
    <t>Mr Fesquet, Mr Such</t>
  </si>
  <si>
    <t>Mudaison</t>
  </si>
  <si>
    <t>Mr Jonathan Fuster</t>
  </si>
  <si>
    <t>Mr Fesquet, Mr Such et Mr Rascol</t>
  </si>
  <si>
    <t>Mr Fesquet et Mr Such</t>
  </si>
  <si>
    <t>Total cumulé 2012-2013</t>
  </si>
  <si>
    <t>Mr Jonathan Fuster et Mr Combe (stagiaire au Symbo)</t>
  </si>
  <si>
    <t>Mr Fesquet</t>
  </si>
  <si>
    <t>Total 2013</t>
  </si>
  <si>
    <t>Total 2012</t>
  </si>
  <si>
    <t>Mr Fesquet et Mr Rascol</t>
  </si>
  <si>
    <t xml:space="preserve">Mudaison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</si>
</sst>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Fill="1" applyBorder="1" applyAlignment="1">
      <alignment vertical="top" wrapText="1"/>
    </xf>
    <xf numFmtId="0" fontId="1" fillId="0" borderId="1" xfId="0" applyFont="1" applyBorder="1"/>
    <xf numFmtId="14" fontId="3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0" xfId="0" applyFont="1" applyFill="1"/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fr-FR" sz="1100"/>
              <a:t>Nombre de ragondins capturés par commune en 2013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10185185185185185"/>
          <c:w val="0.71094488188976379"/>
          <c:h val="0.89814814814814814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2.5040354330708663E-2"/>
                  <c:y val="-3.785615339749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3.9082349081364882E-2"/>
                  <c:y val="-4.2485783027121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8.4426607964327036E-2"/>
                  <c:y val="6.16122605757812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6.5678209578641386E-2"/>
                  <c:y val="-8.9916794927628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3.5165791776027994E-2"/>
                  <c:y val="5.81510644502770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5.7086896396015017E-2"/>
                  <c:y val="-0.1160326652943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7.4110123331357719E-2"/>
                  <c:y val="-0.199189724335860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3.0081364829396325E-2"/>
                  <c:y val="-2.7731846019247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0.10537611830779219"/>
                  <c:y val="2.1677680428684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Feuil1!$E$2:$N$2</c:f>
              <c:strCache>
                <c:ptCount val="10"/>
                <c:pt idx="0">
                  <c:v>Baillargues</c:v>
                </c:pt>
                <c:pt idx="1">
                  <c:v>Candillargues</c:v>
                </c:pt>
                <c:pt idx="2">
                  <c:v>Grande-Motte</c:v>
                </c:pt>
                <c:pt idx="3">
                  <c:v>Lansargues</c:v>
                </c:pt>
                <c:pt idx="4">
                  <c:v>Lunel</c:v>
                </c:pt>
                <c:pt idx="5">
                  <c:v>Marsillargues</c:v>
                </c:pt>
                <c:pt idx="6">
                  <c:v>Mauguio</c:v>
                </c:pt>
                <c:pt idx="7">
                  <c:v>Pérols</c:v>
                </c:pt>
                <c:pt idx="8">
                  <c:v>St-Nazaire</c:v>
                </c:pt>
                <c:pt idx="9">
                  <c:v>St Vincent de Barbeyrargues</c:v>
                </c:pt>
              </c:strCache>
            </c:strRef>
          </c:cat>
          <c:val>
            <c:numRef>
              <c:f>Feuil1!$E$24:$N$24</c:f>
              <c:numCache>
                <c:formatCode>General</c:formatCode>
                <c:ptCount val="10"/>
                <c:pt idx="0">
                  <c:v>5</c:v>
                </c:pt>
                <c:pt idx="1">
                  <c:v>13</c:v>
                </c:pt>
                <c:pt idx="2">
                  <c:v>192</c:v>
                </c:pt>
                <c:pt idx="3">
                  <c:v>63</c:v>
                </c:pt>
                <c:pt idx="4">
                  <c:v>0</c:v>
                </c:pt>
                <c:pt idx="5">
                  <c:v>30</c:v>
                </c:pt>
                <c:pt idx="6">
                  <c:v>139</c:v>
                </c:pt>
                <c:pt idx="7">
                  <c:v>0</c:v>
                </c:pt>
                <c:pt idx="8">
                  <c:v>398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8639302345271345"/>
          <c:y val="0.16384312219189642"/>
          <c:w val="0.21127734033245843"/>
          <c:h val="0.83615687780810355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sz="1100"/>
              <a:t>Nombre</a:t>
            </a:r>
            <a:r>
              <a:rPr lang="fr-FR" sz="1100" baseline="0"/>
              <a:t> de ragondins capturés en 2012-2013</a:t>
            </a:r>
            <a:endParaRPr lang="fr-FR" sz="1100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1586832895888015E-2"/>
          <c:y val="0.22453703703703703"/>
          <c:w val="0.61443788276465439"/>
          <c:h val="0.77314814814814814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4.8071741032371003E-2"/>
                  <c:y val="-2.8532735491396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6.3793025871766135E-2"/>
                  <c:y val="-8.41100961074904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1.4299978127734033E-2"/>
                  <c:y val="6.2435841353164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9.6402012248468939E-3"/>
                  <c:y val="5.6264946048410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0.14054432481654078"/>
                  <c:y val="-5.6513166359993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Feuil1!$E$2:$N$2</c:f>
              <c:strCache>
                <c:ptCount val="10"/>
                <c:pt idx="0">
                  <c:v>Baillargues</c:v>
                </c:pt>
                <c:pt idx="1">
                  <c:v>Candillargues</c:v>
                </c:pt>
                <c:pt idx="2">
                  <c:v>Grande-Motte</c:v>
                </c:pt>
                <c:pt idx="3">
                  <c:v>Lansargues</c:v>
                </c:pt>
                <c:pt idx="4">
                  <c:v>Lunel</c:v>
                </c:pt>
                <c:pt idx="5">
                  <c:v>Marsillargues</c:v>
                </c:pt>
                <c:pt idx="6">
                  <c:v>Mauguio</c:v>
                </c:pt>
                <c:pt idx="7">
                  <c:v>Pérols</c:v>
                </c:pt>
                <c:pt idx="8">
                  <c:v>St-Nazaire</c:v>
                </c:pt>
                <c:pt idx="9">
                  <c:v>St Vincent de Barbeyrargues</c:v>
                </c:pt>
              </c:strCache>
            </c:strRef>
          </c:cat>
          <c:val>
            <c:numRef>
              <c:f>Feuil1!$E$26:$N$26</c:f>
              <c:numCache>
                <c:formatCode>General</c:formatCode>
                <c:ptCount val="10"/>
                <c:pt idx="0">
                  <c:v>5</c:v>
                </c:pt>
                <c:pt idx="1">
                  <c:v>66</c:v>
                </c:pt>
                <c:pt idx="2">
                  <c:v>343</c:v>
                </c:pt>
                <c:pt idx="3">
                  <c:v>77</c:v>
                </c:pt>
                <c:pt idx="4">
                  <c:v>5</c:v>
                </c:pt>
                <c:pt idx="5">
                  <c:v>147</c:v>
                </c:pt>
                <c:pt idx="6">
                  <c:v>170</c:v>
                </c:pt>
                <c:pt idx="7">
                  <c:v>15</c:v>
                </c:pt>
                <c:pt idx="8">
                  <c:v>829</c:v>
                </c:pt>
                <c:pt idx="9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8594488188976364"/>
          <c:y val="0.17362277631962675"/>
          <c:w val="0.21127734033245846"/>
          <c:h val="0.82637722368037325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27</xdr:row>
      <xdr:rowOff>180975</xdr:rowOff>
    </xdr:from>
    <xdr:to>
      <xdr:col>8</xdr:col>
      <xdr:colOff>276225</xdr:colOff>
      <xdr:row>46</xdr:row>
      <xdr:rowOff>180975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28574</xdr:colOff>
      <xdr:row>27</xdr:row>
      <xdr:rowOff>138110</xdr:rowOff>
    </xdr:from>
    <xdr:to>
      <xdr:col>15</xdr:col>
      <xdr:colOff>1504949</xdr:colOff>
      <xdr:row>46</xdr:row>
      <xdr:rowOff>190499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"/>
  <sheetViews>
    <sheetView tabSelected="1" topLeftCell="A28" workbookViewId="0">
      <selection activeCell="J50" sqref="J50"/>
    </sheetView>
  </sheetViews>
  <sheetFormatPr baseColWidth="10" defaultRowHeight="15" x14ac:dyDescent="0.25"/>
  <cols>
    <col min="2" max="2" width="9.5703125" customWidth="1"/>
    <col min="3" max="3" width="8.28515625" customWidth="1"/>
    <col min="4" max="4" width="8.140625" customWidth="1"/>
    <col min="5" max="5" width="9" customWidth="1"/>
    <col min="6" max="6" width="11.42578125" customWidth="1"/>
    <col min="7" max="7" width="8.42578125" customWidth="1"/>
    <col min="8" max="8" width="9.5703125" customWidth="1"/>
    <col min="9" max="9" width="5.28515625" customWidth="1"/>
    <col min="10" max="10" width="11.28515625" customWidth="1"/>
    <col min="11" max="11" width="7.5703125" customWidth="1"/>
    <col min="12" max="12" width="5.85546875" customWidth="1"/>
    <col min="13" max="13" width="9.140625" customWidth="1"/>
    <col min="15" max="15" width="12.7109375" customWidth="1"/>
    <col min="16" max="16" width="29.42578125" customWidth="1"/>
  </cols>
  <sheetData>
    <row r="1" spans="1:16" x14ac:dyDescent="0.25">
      <c r="A1" s="3"/>
      <c r="B1" s="3"/>
      <c r="C1" s="4"/>
      <c r="D1" s="4"/>
      <c r="E1" s="4"/>
      <c r="F1" s="14" t="s">
        <v>0</v>
      </c>
      <c r="G1" s="14"/>
      <c r="H1" s="14"/>
      <c r="I1" s="14"/>
      <c r="J1" s="14"/>
      <c r="K1" s="14"/>
      <c r="L1" s="14"/>
      <c r="M1" s="14"/>
      <c r="N1" s="5"/>
      <c r="O1" s="4"/>
      <c r="P1" s="4"/>
    </row>
    <row r="2" spans="1:16" ht="25.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pans="1:16" s="11" customFormat="1" ht="16.5" customHeight="1" x14ac:dyDescent="0.25">
      <c r="A3" s="9">
        <v>41285</v>
      </c>
      <c r="B3" s="12" t="s">
        <v>9</v>
      </c>
      <c r="C3" s="13">
        <v>65</v>
      </c>
      <c r="D3" s="13">
        <v>350</v>
      </c>
      <c r="E3" s="10"/>
      <c r="F3" s="10"/>
      <c r="G3" s="13">
        <v>33</v>
      </c>
      <c r="H3" s="10"/>
      <c r="I3" s="10"/>
      <c r="J3" s="10"/>
      <c r="K3" s="10"/>
      <c r="L3" s="10"/>
      <c r="M3" s="13">
        <v>30</v>
      </c>
      <c r="N3" s="13">
        <v>2</v>
      </c>
      <c r="O3" s="10"/>
      <c r="P3" s="12" t="s">
        <v>17</v>
      </c>
    </row>
    <row r="4" spans="1:16" s="11" customFormat="1" ht="16.5" customHeight="1" x14ac:dyDescent="0.25">
      <c r="A4" s="9">
        <v>41292</v>
      </c>
      <c r="B4" s="12" t="s">
        <v>18</v>
      </c>
      <c r="C4" s="13">
        <v>26</v>
      </c>
      <c r="D4" s="13">
        <v>150</v>
      </c>
      <c r="E4" s="10"/>
      <c r="F4" s="13">
        <v>2</v>
      </c>
      <c r="G4" s="13"/>
      <c r="H4" s="13">
        <v>22</v>
      </c>
      <c r="I4" s="10"/>
      <c r="J4" s="10"/>
      <c r="K4" s="13">
        <v>2</v>
      </c>
      <c r="L4" s="10"/>
      <c r="M4" s="13"/>
      <c r="N4" s="13"/>
      <c r="O4" s="10"/>
      <c r="P4" s="12"/>
    </row>
    <row r="5" spans="1:16" ht="14.25" customHeight="1" x14ac:dyDescent="0.25">
      <c r="A5" s="1">
        <v>41299</v>
      </c>
      <c r="B5" s="2" t="s">
        <v>9</v>
      </c>
      <c r="C5" s="2">
        <v>78</v>
      </c>
      <c r="D5" s="2">
        <v>500</v>
      </c>
      <c r="E5" s="2"/>
      <c r="F5" s="2"/>
      <c r="G5" s="2">
        <v>26</v>
      </c>
      <c r="H5" s="2"/>
      <c r="I5" s="2"/>
      <c r="J5" s="2">
        <v>15</v>
      </c>
      <c r="K5" s="2"/>
      <c r="L5" s="2"/>
      <c r="M5" s="2">
        <v>37</v>
      </c>
      <c r="N5" s="2"/>
      <c r="O5" s="2"/>
      <c r="P5" s="2" t="s">
        <v>17</v>
      </c>
    </row>
    <row r="6" spans="1:16" ht="12.75" customHeight="1" x14ac:dyDescent="0.25">
      <c r="A6" s="1">
        <v>41313</v>
      </c>
      <c r="B6" s="2" t="s">
        <v>18</v>
      </c>
      <c r="C6" s="2">
        <v>19</v>
      </c>
      <c r="D6" s="2">
        <v>100</v>
      </c>
      <c r="E6" s="2"/>
      <c r="F6" s="2">
        <v>3</v>
      </c>
      <c r="G6" s="2"/>
      <c r="H6" s="2">
        <v>15</v>
      </c>
      <c r="I6" s="2"/>
      <c r="J6" s="2"/>
      <c r="K6" s="2">
        <v>1</v>
      </c>
      <c r="L6" s="2"/>
      <c r="M6" s="2"/>
      <c r="N6" s="2"/>
      <c r="O6" s="2"/>
      <c r="P6" s="2" t="s">
        <v>19</v>
      </c>
    </row>
    <row r="7" spans="1:16" ht="13.5" customHeight="1" x14ac:dyDescent="0.25">
      <c r="A7" s="1">
        <v>41313</v>
      </c>
      <c r="B7" s="2" t="s">
        <v>9</v>
      </c>
      <c r="C7" s="2">
        <v>68</v>
      </c>
      <c r="D7" s="2">
        <v>350</v>
      </c>
      <c r="E7" s="2"/>
      <c r="F7" s="2"/>
      <c r="G7" s="2">
        <v>27</v>
      </c>
      <c r="H7" s="2"/>
      <c r="I7" s="2"/>
      <c r="J7" s="2"/>
      <c r="K7" s="2"/>
      <c r="L7" s="2"/>
      <c r="M7" s="2">
        <v>41</v>
      </c>
      <c r="N7" s="2"/>
      <c r="O7" s="2"/>
      <c r="P7" s="2" t="s">
        <v>17</v>
      </c>
    </row>
    <row r="8" spans="1:16" ht="13.5" customHeight="1" x14ac:dyDescent="0.25">
      <c r="A8" s="1">
        <v>41327</v>
      </c>
      <c r="B8" s="2" t="s">
        <v>9</v>
      </c>
      <c r="C8" s="2">
        <v>53</v>
      </c>
      <c r="D8" s="2">
        <v>250</v>
      </c>
      <c r="E8" s="2"/>
      <c r="F8" s="2"/>
      <c r="G8" s="2">
        <v>20</v>
      </c>
      <c r="H8" s="2"/>
      <c r="I8" s="2"/>
      <c r="J8" s="2"/>
      <c r="K8" s="2"/>
      <c r="L8" s="2"/>
      <c r="M8" s="2">
        <v>33</v>
      </c>
      <c r="N8" s="2"/>
      <c r="O8" s="2"/>
      <c r="P8" s="2" t="s">
        <v>17</v>
      </c>
    </row>
    <row r="9" spans="1:16" ht="12.75" customHeight="1" x14ac:dyDescent="0.25">
      <c r="A9" s="1">
        <v>41341</v>
      </c>
      <c r="B9" s="2" t="s">
        <v>9</v>
      </c>
      <c r="C9" s="2">
        <v>31</v>
      </c>
      <c r="D9" s="2">
        <v>200</v>
      </c>
      <c r="E9" s="2"/>
      <c r="F9" s="2"/>
      <c r="G9" s="2">
        <v>11</v>
      </c>
      <c r="H9" s="2"/>
      <c r="I9" s="2"/>
      <c r="J9" s="2"/>
      <c r="K9" s="2"/>
      <c r="L9" s="2"/>
      <c r="M9" s="2">
        <v>20</v>
      </c>
      <c r="N9" s="2"/>
      <c r="O9" s="2"/>
      <c r="P9" s="2" t="s">
        <v>17</v>
      </c>
    </row>
    <row r="10" spans="1:16" x14ac:dyDescent="0.25">
      <c r="A10" s="1">
        <v>41341</v>
      </c>
      <c r="B10" s="2" t="s">
        <v>18</v>
      </c>
      <c r="C10" s="2">
        <v>27</v>
      </c>
      <c r="D10" s="2">
        <v>150</v>
      </c>
      <c r="E10" s="2"/>
      <c r="F10" s="2">
        <v>2</v>
      </c>
      <c r="G10" s="2"/>
      <c r="H10" s="2">
        <v>25</v>
      </c>
      <c r="I10" s="2"/>
      <c r="J10" s="2"/>
      <c r="K10" s="2"/>
      <c r="L10" s="2"/>
      <c r="M10" s="2"/>
      <c r="N10" s="2"/>
      <c r="O10" s="2"/>
      <c r="P10" s="2"/>
    </row>
    <row r="11" spans="1:16" ht="12" customHeight="1" x14ac:dyDescent="0.25">
      <c r="A11" s="1">
        <v>41355</v>
      </c>
      <c r="B11" s="2" t="s">
        <v>9</v>
      </c>
      <c r="C11" s="2">
        <v>65</v>
      </c>
      <c r="D11" s="2">
        <v>350</v>
      </c>
      <c r="E11" s="2"/>
      <c r="F11" s="2"/>
      <c r="G11" s="2">
        <v>32</v>
      </c>
      <c r="H11" s="2"/>
      <c r="I11" s="2"/>
      <c r="J11" s="2"/>
      <c r="K11" s="2"/>
      <c r="L11" s="2"/>
      <c r="M11" s="2">
        <v>33</v>
      </c>
      <c r="N11" s="2"/>
      <c r="O11" s="2"/>
      <c r="P11" s="2" t="s">
        <v>17</v>
      </c>
    </row>
    <row r="12" spans="1:16" ht="14.25" customHeight="1" x14ac:dyDescent="0.25">
      <c r="A12" s="1">
        <v>41369</v>
      </c>
      <c r="B12" s="2" t="s">
        <v>9</v>
      </c>
      <c r="C12" s="2">
        <v>49</v>
      </c>
      <c r="D12" s="2">
        <v>300</v>
      </c>
      <c r="E12" s="2"/>
      <c r="F12" s="2"/>
      <c r="G12" s="2">
        <v>14</v>
      </c>
      <c r="H12" s="2"/>
      <c r="I12" s="2"/>
      <c r="J12" s="2">
        <v>12</v>
      </c>
      <c r="K12" s="2"/>
      <c r="L12" s="2"/>
      <c r="M12" s="2">
        <v>23</v>
      </c>
      <c r="N12" s="2"/>
      <c r="O12" s="2"/>
      <c r="P12" s="2" t="s">
        <v>20</v>
      </c>
    </row>
    <row r="13" spans="1:16" ht="13.5" customHeight="1" x14ac:dyDescent="0.25">
      <c r="A13" s="1">
        <v>41383</v>
      </c>
      <c r="B13" s="2" t="s">
        <v>18</v>
      </c>
      <c r="C13" s="2">
        <v>30</v>
      </c>
      <c r="D13" s="2">
        <v>200</v>
      </c>
      <c r="E13" s="2">
        <v>3</v>
      </c>
      <c r="F13" s="2">
        <v>6</v>
      </c>
      <c r="G13" s="2"/>
      <c r="H13" s="2">
        <v>1</v>
      </c>
      <c r="I13" s="2"/>
      <c r="J13" s="2"/>
      <c r="K13" s="2">
        <v>20</v>
      </c>
      <c r="L13" s="2"/>
      <c r="M13" s="2"/>
      <c r="N13" s="2"/>
      <c r="O13" s="2"/>
      <c r="P13" s="2" t="s">
        <v>19</v>
      </c>
    </row>
    <row r="14" spans="1:16" ht="14.25" customHeight="1" x14ac:dyDescent="0.25">
      <c r="A14" s="1">
        <v>41390</v>
      </c>
      <c r="B14" s="2" t="s">
        <v>9</v>
      </c>
      <c r="C14" s="2">
        <v>40</v>
      </c>
      <c r="D14" s="2">
        <v>250</v>
      </c>
      <c r="E14" s="2"/>
      <c r="F14" s="2"/>
      <c r="G14" s="2">
        <v>12</v>
      </c>
      <c r="H14" s="2"/>
      <c r="I14" s="2"/>
      <c r="J14" s="2"/>
      <c r="K14" s="2"/>
      <c r="L14" s="2"/>
      <c r="M14" s="2">
        <v>28</v>
      </c>
      <c r="N14" s="2"/>
      <c r="O14" s="2"/>
      <c r="P14" s="2" t="s">
        <v>21</v>
      </c>
    </row>
    <row r="15" spans="1:16" ht="14.25" customHeight="1" x14ac:dyDescent="0.25">
      <c r="A15" s="1">
        <v>41400</v>
      </c>
      <c r="B15" s="2" t="s">
        <v>18</v>
      </c>
      <c r="C15" s="2">
        <v>38</v>
      </c>
      <c r="D15" s="2">
        <v>240</v>
      </c>
      <c r="E15" s="2">
        <v>2</v>
      </c>
      <c r="F15" s="2"/>
      <c r="G15" s="2"/>
      <c r="H15" s="2"/>
      <c r="I15" s="2"/>
      <c r="J15" s="2"/>
      <c r="K15" s="2">
        <v>36</v>
      </c>
      <c r="L15" s="2"/>
      <c r="M15" s="2"/>
      <c r="N15" s="2"/>
      <c r="O15" s="2"/>
      <c r="P15" s="2" t="s">
        <v>23</v>
      </c>
    </row>
    <row r="16" spans="1:16" ht="14.25" customHeight="1" x14ac:dyDescent="0.25">
      <c r="A16" s="1">
        <v>41411</v>
      </c>
      <c r="B16" s="2" t="s">
        <v>18</v>
      </c>
      <c r="C16" s="2">
        <v>20</v>
      </c>
      <c r="D16" s="2">
        <v>150</v>
      </c>
      <c r="E16" s="2"/>
      <c r="F16" s="2"/>
      <c r="G16" s="2"/>
      <c r="H16" s="2"/>
      <c r="I16" s="2"/>
      <c r="J16" s="2"/>
      <c r="K16" s="2">
        <v>20</v>
      </c>
      <c r="L16" s="2"/>
      <c r="M16" s="2"/>
      <c r="N16" s="2"/>
      <c r="O16" s="2"/>
      <c r="P16" s="2"/>
    </row>
    <row r="17" spans="1:16" ht="14.25" customHeight="1" x14ac:dyDescent="0.25">
      <c r="A17" s="1">
        <v>41411</v>
      </c>
      <c r="B17" s="2" t="s">
        <v>9</v>
      </c>
      <c r="C17" s="2">
        <v>58</v>
      </c>
      <c r="D17" s="2">
        <v>350</v>
      </c>
      <c r="E17" s="2"/>
      <c r="F17" s="2"/>
      <c r="G17" s="2"/>
      <c r="H17" s="2"/>
      <c r="I17" s="2"/>
      <c r="J17" s="2"/>
      <c r="K17" s="2"/>
      <c r="L17" s="2"/>
      <c r="M17" s="2">
        <v>58</v>
      </c>
      <c r="N17" s="2"/>
      <c r="O17" s="2"/>
      <c r="P17" s="2" t="s">
        <v>24</v>
      </c>
    </row>
    <row r="18" spans="1:16" ht="14.25" customHeight="1" x14ac:dyDescent="0.25">
      <c r="A18" s="1">
        <v>41425</v>
      </c>
      <c r="B18" s="2" t="s">
        <v>18</v>
      </c>
      <c r="C18" s="2">
        <v>26</v>
      </c>
      <c r="D18" s="2">
        <v>200</v>
      </c>
      <c r="E18" s="2"/>
      <c r="F18" s="2"/>
      <c r="G18" s="2"/>
      <c r="H18" s="2"/>
      <c r="I18" s="2"/>
      <c r="J18" s="2"/>
      <c r="K18" s="2">
        <v>26</v>
      </c>
      <c r="L18" s="2"/>
      <c r="M18" s="2"/>
      <c r="N18" s="2"/>
      <c r="O18" s="2"/>
      <c r="P18" s="2"/>
    </row>
    <row r="19" spans="1:16" ht="14.25" customHeight="1" x14ac:dyDescent="0.25">
      <c r="A19" s="1">
        <v>41432</v>
      </c>
      <c r="B19" s="2" t="s">
        <v>9</v>
      </c>
      <c r="C19" s="2">
        <v>57</v>
      </c>
      <c r="D19" s="2">
        <v>300</v>
      </c>
      <c r="E19" s="2"/>
      <c r="F19" s="2"/>
      <c r="G19" s="2"/>
      <c r="H19" s="2"/>
      <c r="I19" s="2"/>
      <c r="J19" s="2"/>
      <c r="K19" s="2"/>
      <c r="L19" s="2"/>
      <c r="M19" s="2">
        <v>57</v>
      </c>
      <c r="N19" s="2"/>
      <c r="O19" s="2"/>
      <c r="P19" s="2" t="s">
        <v>24</v>
      </c>
    </row>
    <row r="20" spans="1:16" ht="14.25" customHeight="1" x14ac:dyDescent="0.25">
      <c r="A20" s="1">
        <v>41439</v>
      </c>
      <c r="B20" s="2" t="s">
        <v>9</v>
      </c>
      <c r="C20" s="2">
        <v>28</v>
      </c>
      <c r="D20" s="2">
        <v>150</v>
      </c>
      <c r="E20" s="2"/>
      <c r="F20" s="2"/>
      <c r="G20" s="2"/>
      <c r="H20" s="2"/>
      <c r="I20" s="2"/>
      <c r="J20" s="2">
        <v>3</v>
      </c>
      <c r="K20" s="2"/>
      <c r="L20" s="2"/>
      <c r="M20" s="2">
        <v>25</v>
      </c>
      <c r="N20" s="2"/>
      <c r="O20" s="2"/>
      <c r="P20" s="2" t="s">
        <v>27</v>
      </c>
    </row>
    <row r="21" spans="1:16" ht="14.25" customHeight="1" x14ac:dyDescent="0.25">
      <c r="A21" s="1">
        <v>41439</v>
      </c>
      <c r="B21" s="2" t="s">
        <v>18</v>
      </c>
      <c r="C21" s="2">
        <v>27</v>
      </c>
      <c r="D21" s="2">
        <v>180</v>
      </c>
      <c r="E21" s="2"/>
      <c r="F21" s="2"/>
      <c r="G21" s="2"/>
      <c r="H21" s="2"/>
      <c r="I21" s="2"/>
      <c r="J21" s="2"/>
      <c r="K21" s="2">
        <v>27</v>
      </c>
      <c r="L21" s="2"/>
      <c r="M21" s="2"/>
      <c r="N21" s="2"/>
      <c r="O21" s="2"/>
      <c r="P21" s="2"/>
    </row>
    <row r="22" spans="1:16" ht="14.25" customHeight="1" x14ac:dyDescent="0.25">
      <c r="A22" s="1">
        <v>41453</v>
      </c>
      <c r="B22" s="2" t="s">
        <v>28</v>
      </c>
      <c r="C22" s="2">
        <v>7</v>
      </c>
      <c r="D22" s="2">
        <v>50</v>
      </c>
      <c r="E22" s="2"/>
      <c r="F22" s="2"/>
      <c r="G22" s="2"/>
      <c r="H22" s="2"/>
      <c r="I22" s="2"/>
      <c r="J22" s="2"/>
      <c r="K22" s="2">
        <v>7</v>
      </c>
      <c r="L22" s="2"/>
      <c r="M22" s="2"/>
      <c r="N22" s="2"/>
      <c r="O22" s="2"/>
      <c r="P22" s="2"/>
    </row>
    <row r="23" spans="1:16" ht="14.25" customHeight="1" x14ac:dyDescent="0.25">
      <c r="A23" s="1">
        <v>41453</v>
      </c>
      <c r="B23" s="2" t="s">
        <v>9</v>
      </c>
      <c r="C23" s="2">
        <v>30</v>
      </c>
      <c r="D23" s="2">
        <v>150</v>
      </c>
      <c r="E23" s="2"/>
      <c r="F23" s="2"/>
      <c r="G23" s="2">
        <v>17</v>
      </c>
      <c r="H23" s="2"/>
      <c r="I23" s="2"/>
      <c r="J23" s="2"/>
      <c r="K23" s="2"/>
      <c r="L23" s="2"/>
      <c r="M23" s="2">
        <v>13</v>
      </c>
      <c r="N23" s="2"/>
      <c r="O23" s="2"/>
      <c r="P23" s="2" t="s">
        <v>21</v>
      </c>
    </row>
    <row r="24" spans="1:16" x14ac:dyDescent="0.25">
      <c r="A24" s="6"/>
      <c r="B24" s="7" t="s">
        <v>25</v>
      </c>
      <c r="C24" s="8">
        <f>SUM(C3:C23)</f>
        <v>842</v>
      </c>
      <c r="D24" s="8">
        <f>SUM(D3:D23)</f>
        <v>4920</v>
      </c>
      <c r="E24" s="8">
        <f t="shared" ref="E24:H24" si="0">SUM(E3:E17)</f>
        <v>5</v>
      </c>
      <c r="F24" s="8">
        <f t="shared" si="0"/>
        <v>13</v>
      </c>
      <c r="G24" s="8">
        <f>SUM(G3:G23)</f>
        <v>192</v>
      </c>
      <c r="H24" s="8">
        <f t="shared" si="0"/>
        <v>63</v>
      </c>
      <c r="I24" s="8">
        <v>0</v>
      </c>
      <c r="J24" s="8">
        <f>SUM(J3:J21)</f>
        <v>30</v>
      </c>
      <c r="K24" s="8">
        <f>SUM(K3:K23)</f>
        <v>139</v>
      </c>
      <c r="L24" s="8">
        <f>SUM(L5:L14)</f>
        <v>0</v>
      </c>
      <c r="M24" s="8">
        <f>SUM(M3:M23)</f>
        <v>398</v>
      </c>
      <c r="N24" s="8">
        <v>2</v>
      </c>
      <c r="O24" s="6"/>
      <c r="P24" s="6"/>
    </row>
    <row r="25" spans="1:16" x14ac:dyDescent="0.25">
      <c r="A25" s="6"/>
      <c r="B25" s="7" t="s">
        <v>26</v>
      </c>
      <c r="C25" s="8">
        <v>828</v>
      </c>
      <c r="D25" s="8">
        <v>4962</v>
      </c>
      <c r="E25" s="8">
        <v>0</v>
      </c>
      <c r="F25" s="8">
        <v>53</v>
      </c>
      <c r="G25" s="8">
        <v>151</v>
      </c>
      <c r="H25" s="8">
        <v>14</v>
      </c>
      <c r="I25" s="8">
        <v>5</v>
      </c>
      <c r="J25" s="8">
        <v>117</v>
      </c>
      <c r="K25" s="8">
        <v>31</v>
      </c>
      <c r="L25" s="8">
        <v>15</v>
      </c>
      <c r="M25" s="8">
        <v>431</v>
      </c>
      <c r="N25" s="8">
        <v>11</v>
      </c>
      <c r="O25" s="6"/>
      <c r="P25" s="6"/>
    </row>
    <row r="26" spans="1:16" x14ac:dyDescent="0.25">
      <c r="A26" s="8" t="s">
        <v>22</v>
      </c>
      <c r="B26" s="8"/>
      <c r="C26" s="8">
        <f>828+C24</f>
        <v>1670</v>
      </c>
      <c r="D26" s="8">
        <f>4962+D24</f>
        <v>9882</v>
      </c>
      <c r="E26" s="8">
        <f>0+E24</f>
        <v>5</v>
      </c>
      <c r="F26" s="8">
        <f>53+F24</f>
        <v>66</v>
      </c>
      <c r="G26" s="8">
        <f>151+G24</f>
        <v>343</v>
      </c>
      <c r="H26" s="8">
        <f>14+H24</f>
        <v>77</v>
      </c>
      <c r="I26" s="8">
        <f>5+I24</f>
        <v>5</v>
      </c>
      <c r="J26" s="8">
        <f>117+J24</f>
        <v>147</v>
      </c>
      <c r="K26" s="8">
        <f>31+K24</f>
        <v>170</v>
      </c>
      <c r="L26" s="8">
        <f>15+L24</f>
        <v>15</v>
      </c>
      <c r="M26" s="8">
        <f>431+M24</f>
        <v>829</v>
      </c>
      <c r="N26" s="8">
        <f>11+N24</f>
        <v>13</v>
      </c>
      <c r="O26" s="6"/>
      <c r="P26" s="6"/>
    </row>
  </sheetData>
  <mergeCells count="1">
    <mergeCell ref="F1:M1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cp:lastPrinted>2013-07-08T08:57:54Z</cp:lastPrinted>
  <dcterms:created xsi:type="dcterms:W3CDTF">2013-05-15T14:13:47Z</dcterms:created>
  <dcterms:modified xsi:type="dcterms:W3CDTF">2013-07-08T08:58:01Z</dcterms:modified>
</cp:coreProperties>
</file>